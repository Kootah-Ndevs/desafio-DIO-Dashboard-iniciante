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93F90C86-B59B-4F61-921D-2F0AE5A5D17B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  <definedName name="tbl_anual">C̳álculos!#REF!</definedName>
  </definedNames>
  <calcPr calcId="191028"/>
  <pivotCaches>
    <pivotCache cacheId="133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<sst xmlns="http://schemas.openxmlformats.org/spreadsheetml/2006/main" count="2020" uniqueCount="322">
  <si>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</si>
  <si>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</si>
  <si>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</si>
  <si>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</si>
  <si>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</si>
  <si>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</si>
  <si>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</si>
  <si>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</si>
  <si>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</si>
  <si>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</si>
  <si>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</si>
  <si>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</si>
  <si>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</si>
  <si>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</si>
  <si>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</si>
  <si>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</si>
  <si>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</si>
  <si>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</si>
  <si>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</si>
  <si>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</si>
  <si>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</si>
  <si>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</si>
  <si>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</si>
  <si>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</si>
  <si>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</si>
  <si>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</si>
  <si>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</si>
  <si>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</si>
  <si>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</si>
  <si>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</si>
  <si>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</si>
  <si>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</si>
  <si>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</si>
  <si>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</si>
  <si>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</si>
  <si>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</si>
  <si>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</si>
  <si>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</si>
  <si>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</si>
  <si>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</si>
  <si>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</si>
  <si>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</si>
  <si>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</si>
  <si>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</si>
  <si>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</si>
  <si>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</si>
  <si>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</si>
  <si>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</si>
  <si>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</si>
  <si>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</si>
  <si>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</si>
  <si>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</si>
  <si>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</si>
  <si>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</si>
  <si>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</si>
  <si>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</si>
  <si>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</si>
  <si>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</si>
  <si>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</si>
  <si>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</si>
  <si>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</si>
  <si>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</si>
  <si>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</si>
  <si>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</si>
  <si>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</si>
  <si>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</si>
  <si>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</si>
  <si>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</si>
  <si>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</si>
  <si>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</si>
  <si>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</si>
  <si>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</si>
  <si>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</si>
  <si>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</si>
  <si>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</si>
  <si>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</si>
  <si>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</si>
  <si>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</si>
  <si>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</si>
  <si>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</si>
  <si>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</si>
  <si>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</si>
  <si>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</si>
  <si>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</si>
  <si>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</si>
  <si>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</si>
  <si>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</si>
  <si>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</si>
  <si>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</si>
  <si>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</si>
  <si>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</si>
  <si>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</si>
  <si>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</si>
  <si>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</si>
  <si>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</si>
  <si>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</si>
  <si>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</si>
  <si>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</si>
  <si>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</si>
  <si>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</si>
  <si>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</si>
  <si>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</si>
  <si>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</si>
  <si>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</si>
  <si>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</si>
  <si>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</si>
  <si>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</si>
  <si>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</si>
  <si>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</si>
  <si>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</si>
  <si>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</si>
  <si>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</si>
  <si>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</si>
  <si>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</si>
  <si>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</si>
  <si>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</si>
  <si>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</si>
  <si>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</si>
  <si>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</si>
  <si>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</si>
  <si>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</si>
  <si>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</si>
  <si>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</si>
  <si>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</si>
  <si>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</si>
  <si>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</si>
  <si>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</si>
  <si>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</si>
  <si>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</si>
  <si>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</si>
  <si>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</si>
  <si>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</si>
  <si>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</si>
  <si>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</si>
  <si>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</si>
  <si>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</si>
  <si>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</si>
  <si>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</si>
  <si>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</si>
  <si>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</si>
  <si>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</si>
  <si>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</si>
  <si>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</si>
  <si>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</si>
  <si>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</si>
  <si>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</si>
  <si>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</si>
  <si>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</si>
  <si>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</si>
  <si>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</si>
  <si>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</si>
  <si>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</si>
  <si>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</si>
  <si>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</si>
  <si>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</si>
  <si>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</si>
  <si>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</si>
  <si>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</si>
  <si>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</si>
  <si>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</si>
  <si>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</si>
  <si>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</si>
  <si>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</si>
  <si>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</si>
  <si>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</si>
  <si>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</si>
  <si>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</si>
  <si>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</si>
  <si>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</si>
  <si>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</si>
  <si>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</si>
  <si>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</si>
  <si>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</si>
  <si>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</si>
  <si>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</si>
  <si>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</si>
  <si>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</si>
  <si>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</si>
  <si>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</si>
  <si>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</si>
  <si>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</si>
  <si>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</si>
  <si>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</si>
  <si>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</si>
  <si>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</si>
  <si>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</si>
  <si>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</si>
  <si>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</si>
  <si>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</si>
  <si>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</si>
  <si>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</si>
  <si>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</si>
  <si>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</si>
  <si>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</si>
  <si>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</si>
  <si>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</si>
  <si>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</si>
  <si>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</si>
  <si>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</si>
  <si>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</si>
  <si>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</si>
  <si>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</si>
  <si>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</si>
  <si>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</si>
  <si>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</si>
  <si>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</si>
  <si>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</si>
  <si>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</si>
  <si>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</si>
  <si>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</si>
  <si>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</si>
  <si>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</si>
  <si>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</si>
  <si>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</si>
  <si>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</si>
  <si>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</si>
  <si>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</si>
  <si>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</si>
  <si>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</si>
  <si>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</si>
  <si>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</si>
  <si>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</si>
  <si>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</si>
  <si>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</si>
  <si>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</si>
  <si>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</si>
  <si>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</si>
  <si>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</si>
  <si>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</si>
  <si>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</si>
  <si>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</si>
  <si>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</si>
  <si>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</si>
  <si>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</si>
  <si>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</si>
  <si>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</si>
  <si>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</si>
  <si>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</si>
  <si>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</si>
  <si>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</si>
  <si>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</si>
  <si>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</si>
  <si>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</si>
  <si>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</si>
  <si>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</si>
  <si>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</si>
  <si>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</si>
  <si>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</si>
  <si>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</si>
  <si>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</si>
  <si>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</si>
  <si>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</si>
  <si>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</si>
  <si>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</si>
  <si>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</si>
  <si>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</si>
  <si>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</si>
  <si>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</si>
  <si>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</si>
  <si>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</si>
  <si>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</si>
  <si>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</si>
  <si>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</si>
  <si>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</si>
  <si>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</si>
  <si>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</si>
  <si>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</si>
  <si>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</si>
  <si>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</si>
  <si>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</si>
  <si>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</si>
  <si>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</si>
  <si>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</si>
  <si>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</si>
  <si>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</si>
  <si>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</si>
  <si>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</si>
  <si>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</si>
  <si>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</si>
  <si>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</si>
  <si>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</si>
  <si>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</si>
  <si>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</si>
  <si>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</si>
  <si>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</si>
  <si>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</si>
  <si>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</si>
  <si>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</si>
  <si>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</si>
  <si>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</si>
  <si>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</si>
  <si>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</si>
  <si>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</si>
  <si>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</si>
  <si>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</si>
  <si>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</si>
  <si>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</si>
  <si>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</si>
  <si>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</si>
  <si>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</si>
  <si>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</si>
  <si>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</si>
  <si>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</si>
  <si>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</si>
  <si>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</si>
  <si>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</si>
  <si>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</si>
  <si>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</si>
  <si>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</si>
  <si>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</si>
  <si>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</si>
  <si>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</si>
  <si>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</si>
  <si>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 respondida através de uma análise específica</t>
  </si>
  <si>
    <r>
      <rPr>
        <sz val="11"/>
        <color rgb="FF000000"/>
        <rFont val="Aptos Narrow"/>
        <scheme val="minor"/>
      </rPr>
      <t xml:space="preserve">Pergunta de Negócio 1 -  Qual faturamento </t>
    </r>
    <r>
      <rPr>
        <b/>
        <sz val="11"/>
        <color rgb="FF000000"/>
        <rFont val="Aptos Narrow"/>
        <scheme val="minor"/>
      </rPr>
      <t>Total de Vendas</t>
    </r>
    <r>
      <rPr>
        <sz val="11"/>
        <color rgb="FF000000"/>
        <rFont val="Aptos Narrow"/>
        <scheme val="minor"/>
      </rPr>
      <t xml:space="preserve"> de </t>
    </r>
    <r>
      <rPr>
        <b/>
        <sz val="11"/>
        <color rgb="FF000000"/>
        <rFont val="Aptos Narrow"/>
        <scheme val="minor"/>
      </rPr>
      <t>Planos Anuais</t>
    </r>
    <r>
      <rPr>
        <sz val="11"/>
        <color rgb="FF000000"/>
        <rFont val="Aptos Narrow"/>
        <scheme val="minor"/>
      </rPr>
      <t xml:space="preserve"> (contendo todas as assinaturas agregadas)</t>
    </r>
  </si>
  <si>
    <r>
      <rPr>
        <sz val="11"/>
        <color rgb="FF000000"/>
        <rFont val="Aptos Narrow"/>
        <scheme val="minor"/>
      </rPr>
      <t xml:space="preserve">Pergunta de Negócio 2 -   Qual faturamento de  </t>
    </r>
    <r>
      <rPr>
        <b/>
        <sz val="11"/>
        <color rgb="FF000000"/>
        <rFont val="Aptos Narrow"/>
        <scheme val="minor"/>
      </rPr>
      <t>Total de Vendas</t>
    </r>
    <r>
      <rPr>
        <sz val="11"/>
        <color rgb="FF000000"/>
        <rFont val="Aptos Narrow"/>
        <scheme val="minor"/>
      </rPr>
      <t xml:space="preserve"> de </t>
    </r>
    <r>
      <rPr>
        <b/>
        <sz val="11"/>
        <color rgb="FF000000"/>
        <rFont val="Aptos Narrow"/>
        <scheme val="minor"/>
      </rPr>
      <t>Planos Anuais</t>
    </r>
    <r>
      <rPr>
        <sz val="11"/>
        <color rgb="FF000000"/>
        <rFont val="Aptos Narrow"/>
        <scheme val="minor"/>
      </rPr>
      <t xml:space="preserve"> que possuem </t>
    </r>
    <r>
      <rPr>
        <b/>
        <sz val="11"/>
        <color rgb="FF000000"/>
        <rFont val="Aptos Narrow"/>
        <scheme val="minor"/>
      </rPr>
      <t>auto renovação</t>
    </r>
  </si>
  <si>
    <t>Soma de Total Value</t>
  </si>
  <si>
    <t>Total Geral</t>
  </si>
  <si>
    <t>Soma de EA Play Season PassPrice</t>
  </si>
  <si>
    <t>=R$ 990,00</t>
  </si>
  <si>
    <t>Soma de Minecraft Season Pass Price</t>
  </si>
  <si>
    <t>XBOX GAME PASS SUBSCRIPTION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</si>
</sst>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0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5"/>
      <color theme="3"/>
      <name val="Segoe UI"/>
    </font>
    <font>
      <b/>
      <sz val="15"/>
      <color theme="0"/>
      <name val="Aptos Narrow"/>
      <family val="2"/>
      <scheme val="minor"/>
    </font>
    <font>
      <b/>
      <sz val="15"/>
      <color rgb="FF22C55E"/>
      <name val="Segoe UI"/>
    </font>
    <font>
      <sz val="11"/>
      <color rgb="FFE8E6E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medium">
        <color rgb="FF5BF6A8"/>
      </right>
      <top style="medium">
        <color rgb="FF5BF6A8"/>
      </top>
      <bottom style="medium">
        <color rgb="FF5BF6A8"/>
      </bottom>
      <diagonal/>
    </border>
    <border>
      <left/>
      <right/>
      <top style="medium">
        <color rgb="FF5BF6A8"/>
      </top>
      <bottom style="medium">
        <color rgb="FF5BF6A8"/>
      </bottom>
      <diagonal/>
    </border>
    <border>
      <left style="medium">
        <color rgb="FF22C55E"/>
      </left>
      <right/>
      <top style="medium">
        <color rgb="FF22C55E"/>
      </top>
      <bottom style="medium">
        <color rgb="FF22C55E"/>
      </bottom>
      <diagonal/>
    </border>
    <border>
      <left/>
      <right/>
      <top style="medium">
        <color rgb="FF22C55E"/>
      </top>
      <bottom style="medium">
        <color rgb="FF22C55E"/>
      </bottom>
      <diagonal/>
    </border>
    <border>
      <left/>
      <right style="medium">
        <color rgb="FF22C55E"/>
      </right>
      <top style="medium">
        <color rgb="FF22C55E"/>
      </top>
      <bottom style="medium">
        <color rgb="FF22C55E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pivotButton="1"/>
    <xf numFmtId="164" fontId="0" fillId="0" borderId="0" xfId="0" applyNumberFormat="1"/>
    <xf numFmtId="0" fontId="4" fillId="0" borderId="0" xfId="0" applyFont="1"/>
    <xf numFmtId="0" fontId="0" fillId="8" borderId="0" xfId="0" applyFill="1"/>
    <xf numFmtId="0" fontId="1" fillId="8" borderId="0" xfId="1" applyFill="1" applyBorder="1"/>
    <xf numFmtId="0" fontId="0" fillId="7" borderId="0" xfId="0" applyFill="1" applyBorder="1"/>
    <xf numFmtId="0" fontId="7" fillId="8" borderId="0" xfId="1" applyFont="1" applyFill="1" applyBorder="1"/>
    <xf numFmtId="0" fontId="0" fillId="8" borderId="0" xfId="0" applyFill="1" applyBorder="1"/>
    <xf numFmtId="0" fontId="0" fillId="7" borderId="3" xfId="0" applyFill="1" applyBorder="1"/>
    <xf numFmtId="0" fontId="0" fillId="7" borderId="2" xfId="0" applyFill="1" applyBorder="1"/>
    <xf numFmtId="0" fontId="1" fillId="0" borderId="4" xfId="1" applyFill="1" applyBorder="1"/>
    <xf numFmtId="0" fontId="1" fillId="0" borderId="5" xfId="1" applyFill="1" applyBorder="1"/>
    <xf numFmtId="0" fontId="9" fillId="7" borderId="0" xfId="0" applyFont="1" applyFill="1"/>
    <xf numFmtId="0" fontId="8" fillId="8" borderId="5" xfId="1" applyFont="1" applyFill="1" applyBorder="1" applyAlignment="1">
      <alignment wrapText="1"/>
    </xf>
    <xf numFmtId="0" fontId="6" fillId="8" borderId="5" xfId="1" applyFont="1" applyFill="1" applyBorder="1"/>
    <xf numFmtId="0" fontId="1" fillId="8" borderId="5" xfId="1" applyFill="1" applyBorder="1"/>
    <xf numFmtId="0" fontId="1" fillId="8" borderId="6" xfId="1" applyFill="1" applyBorder="1"/>
    <xf numFmtId="0" fontId="6" fillId="8" borderId="0" xfId="1" applyFont="1" applyFill="1" applyBorder="1" applyAlignment="1">
      <alignment wrapText="1"/>
    </xf>
    <xf numFmtId="0" fontId="6" fillId="8" borderId="0" xfId="1" applyFont="1" applyFill="1" applyBorder="1" applyAlignment="1"/>
    <xf numFmtId="164" fontId="3" fillId="9" borderId="7" xfId="0" applyNumberFormat="1" applyFont="1" applyFill="1" applyBorder="1"/>
  </cellXfs>
  <cellStyles count="3">
    <cellStyle name="Moeda" xfId="2" builtinId="4"/>
    <cellStyle name="Normal" xfId="0" builtinId="0"/>
    <cellStyle name="Título 1" xfId="1" builtinId="16"/>
  </cellStyles>
  <dxfs count="1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</dxfs>
  <tableStyles count="0" defaultTableStyle="TableStyleMedium2" defaultPivotStyle="PivotStyleLight16"/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Iniciante.xlsx]C̳álculos!Tabela dinâmica2</c:name>
    <c:fmtId val="30"/>
  </c:pivotSource>
  <c:chart>
    <c:autoTitleDeleted val="1"/>
    <c:pivotFmts>
      <c:pivotFmt>
        <c:idx val="0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solidFill>
                <a:srgbClr val="2AE6B1"/>
              </a:solidFill>
              <a:prstDash val="solid"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E-4AE6-A3B3-28FE54F94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146184"/>
        <c:axId val="1308152328"/>
      </c:barChart>
      <c:catAx>
        <c:axId val="1308146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52328"/>
        <c:crosses val="autoZero"/>
        <c:auto val="1"/>
        <c:lblAlgn val="ctr"/>
        <c:lblOffset val="100"/>
        <c:noMultiLvlLbl val="0"/>
      </c:catAx>
      <c:valAx>
        <c:axId val="130815232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308146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Iniciante.xlsx]C̳álculos!Tabela dinâmica2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solidFill>
              <a:srgbClr val="2AE6B1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solidFill>
                <a:srgbClr val="2AE6B1"/>
              </a:solidFill>
              <a:prstDash val="solid"/>
            </a:ln>
            <a:effectLst/>
          </c:spPr>
          <c:invertIfNegative val="0"/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E6-4EE1-9CE7-EF790DD9B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08146184"/>
        <c:axId val="1308152328"/>
      </c:barChart>
      <c:catAx>
        <c:axId val="1308146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8152328"/>
        <c:crosses val="autoZero"/>
        <c:auto val="1"/>
        <c:lblAlgn val="ctr"/>
        <c:lblOffset val="100"/>
        <c:noMultiLvlLbl val="0"/>
      </c:catAx>
      <c:valAx>
        <c:axId val="1308152328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1308146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FFFFF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2</xdr:col>
      <xdr:colOff>419100</xdr:colOff>
      <xdr:row>29</xdr:row>
      <xdr:rowOff>38099</xdr:rowOff>
    </xdr:from>
    <xdr:to>
      <xdr:col>5</xdr:col>
      <xdr:colOff>139776</xdr:colOff>
      <xdr:row>33</xdr:row>
      <xdr:rowOff>28575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1638300" y="57149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6</xdr:col>
      <xdr:colOff>304800</xdr:colOff>
      <xdr:row>4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4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  <a:ext uri="{147F2762-F138-4A5C-976F-8EAC2B608ADB}">
              <a16:predDERef xmlns:a16="http://schemas.microsoft.com/office/drawing/2014/main" pre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276225</xdr:colOff>
      <xdr:row>8</xdr:row>
      <xdr:rowOff>28575</xdr:rowOff>
    </xdr:from>
    <xdr:to>
      <xdr:col>3</xdr:col>
      <xdr:colOff>2105025</xdr:colOff>
      <xdr:row>14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03FE81F8-6612-713F-8A65-DBF4EE31F5EE}"/>
                </a:ext>
                <a:ext uri="{147F2762-F138-4A5C-976F-8EAC2B608ADB}">
                  <a16:predDERef xmlns:a16="http://schemas.microsoft.com/office/drawing/2014/main" pred="{C004F30A-D860-6505-73AE-D8D70F3D8E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38725" y="2095500"/>
              <a:ext cx="182880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4</xdr:col>
      <xdr:colOff>1285875</xdr:colOff>
      <xdr:row>7</xdr:row>
      <xdr:rowOff>76200</xdr:rowOff>
    </xdr:from>
    <xdr:to>
      <xdr:col>8</xdr:col>
      <xdr:colOff>495300</xdr:colOff>
      <xdr:row>21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FDE1E82-1482-4FE7-A324-776694131425}"/>
            </a:ext>
            <a:ext uri="{147F2762-F138-4A5C-976F-8EAC2B608ADB}">
              <a16:predDERef xmlns:a16="http://schemas.microsoft.com/office/drawing/2014/main" pred="{03FE81F8-6612-713F-8A65-DBF4EE31F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22</xdr:row>
      <xdr:rowOff>0</xdr:rowOff>
    </xdr:from>
    <xdr:to>
      <xdr:col>9</xdr:col>
      <xdr:colOff>400050</xdr:colOff>
      <xdr:row>39</xdr:row>
      <xdr:rowOff>123825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FB59DFCB-8675-7B4A-429F-8F95BB96627F}"/>
            </a:ext>
            <a:ext uri="{147F2762-F138-4A5C-976F-8EAC2B608ADB}">
              <a16:predDERef xmlns:a16="http://schemas.microsoft.com/office/drawing/2014/main" pred="{D2D376DA-9CEC-C474-D1BB-AB9DDA9085A6}"/>
            </a:ext>
          </a:extLst>
        </xdr:cNvPr>
        <xdr:cNvSpPr/>
      </xdr:nvSpPr>
      <xdr:spPr>
        <a:xfrm>
          <a:off x="1638300" y="4591050"/>
          <a:ext cx="9096375" cy="3362325"/>
        </a:xfrm>
        <a:prstGeom prst="round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0</xdr:col>
      <xdr:colOff>161925</xdr:colOff>
      <xdr:row>0</xdr:row>
      <xdr:rowOff>0</xdr:rowOff>
    </xdr:from>
    <xdr:to>
      <xdr:col>0</xdr:col>
      <xdr:colOff>981075</xdr:colOff>
      <xdr:row>4</xdr:row>
      <xdr:rowOff>85725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A35AFD-A2C8-471B-ABA8-5BC352295489}"/>
            </a:ext>
            <a:ext uri="{147F2762-F138-4A5C-976F-8EAC2B608ADB}">
              <a16:predDERef xmlns:a16="http://schemas.microsoft.com/office/drawing/2014/main" pred="{974AAC65-53ED-BF02-5D3C-0A7690515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617"/>
        <a:stretch>
          <a:fillRect/>
        </a:stretch>
      </xdr:blipFill>
      <xdr:spPr>
        <a:xfrm>
          <a:off x="161925" y="0"/>
          <a:ext cx="819150" cy="1019175"/>
        </a:xfrm>
        <a:prstGeom prst="rect">
          <a:avLst/>
        </a:prstGeom>
      </xdr:spPr>
    </xdr:pic>
    <xdr:clientData/>
  </xdr:twoCellAnchor>
  <xdr:twoCellAnchor>
    <xdr:from>
      <xdr:col>2</xdr:col>
      <xdr:colOff>485775</xdr:colOff>
      <xdr:row>22</xdr:row>
      <xdr:rowOff>171450</xdr:rowOff>
    </xdr:from>
    <xdr:to>
      <xdr:col>9</xdr:col>
      <xdr:colOff>304800</xdr:colOff>
      <xdr:row>37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747068-9CE1-481D-AC07-48DF1CAEFCD8}"/>
            </a:ext>
            <a:ext uri="{147F2762-F138-4A5C-976F-8EAC2B608ADB}">
              <a16:predDERef xmlns:a16="http://schemas.microsoft.com/office/drawing/2014/main" pred="{CDA35AFD-A2C8-471B-ABA8-5BC352295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6</xdr:row>
      <xdr:rowOff>180975</xdr:rowOff>
    </xdr:from>
    <xdr:to>
      <xdr:col>0</xdr:col>
      <xdr:colOff>1228725</xdr:colOff>
      <xdr:row>13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D2D376DA-9CEC-C474-D1BB-AB9DDA9085A6}"/>
                </a:ext>
                <a:ext uri="{147F2762-F138-4A5C-976F-8EAC2B608ADB}">
                  <a16:predDERef xmlns:a16="http://schemas.microsoft.com/office/drawing/2014/main" pred="{3B747068-9CE1-481D-AC07-48DF1CAEFC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24025"/>
              <a:ext cx="1228725" cy="1181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257175</xdr:colOff>
      <xdr:row>7</xdr:row>
      <xdr:rowOff>133350</xdr:rowOff>
    </xdr:from>
    <xdr:to>
      <xdr:col>3</xdr:col>
      <xdr:colOff>5048250</xdr:colOff>
      <xdr:row>17</xdr:row>
      <xdr:rowOff>133350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B5E21882-9E78-4820-E450-B05548F09160}"/>
            </a:ext>
            <a:ext uri="{147F2762-F138-4A5C-976F-8EAC2B608ADB}">
              <a16:predDERef xmlns:a16="http://schemas.microsoft.com/office/drawing/2014/main" pred="{D2D376DA-9CEC-C474-D1BB-AB9DDA9085A6}"/>
            </a:ext>
          </a:extLst>
        </xdr:cNvPr>
        <xdr:cNvSpPr/>
      </xdr:nvSpPr>
      <xdr:spPr>
        <a:xfrm>
          <a:off x="1781175" y="1866900"/>
          <a:ext cx="5400675" cy="190500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i</a:t>
          </a:r>
        </a:p>
      </xdr:txBody>
    </xdr:sp>
    <xdr:clientData/>
  </xdr:twoCellAnchor>
  <xdr:twoCellAnchor>
    <xdr:from>
      <xdr:col>3</xdr:col>
      <xdr:colOff>161925</xdr:colOff>
      <xdr:row>10</xdr:row>
      <xdr:rowOff>9525</xdr:rowOff>
    </xdr:from>
    <xdr:to>
      <xdr:col>3</xdr:col>
      <xdr:colOff>4676775</xdr:colOff>
      <xdr:row>15</xdr:row>
      <xdr:rowOff>9525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AA38DF04-F0D9-FCC6-1A9A-A3DE2EA377C7}"/>
            </a:ext>
            <a:ext uri="{147F2762-F138-4A5C-976F-8EAC2B608ADB}">
              <a16:predDERef xmlns:a16="http://schemas.microsoft.com/office/drawing/2014/main" pred="{B5E21882-9E78-4820-E450-B05548F09160}"/>
            </a:ext>
          </a:extLst>
        </xdr:cNvPr>
        <xdr:cNvSpPr/>
      </xdr:nvSpPr>
      <xdr:spPr>
        <a:xfrm>
          <a:off x="2295525" y="2314575"/>
          <a:ext cx="4514850" cy="9525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 b="1" i="0" u="none" strike="noStrike">
            <a:solidFill>
              <a:schemeClr val="tx1"/>
            </a:solidFill>
            <a:latin typeface="Aptos Narrow" panose="020B0004020202020204" pitchFamily="34" charset="0"/>
          </a:endParaRPr>
        </a:p>
        <a:p>
          <a:pPr marL="0" indent="0" algn="l"/>
          <a:endParaRPr lang="en-US" sz="4800" b="1" i="0" u="none" strike="noStrike">
            <a:solidFill>
              <a:schemeClr val="tx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3</xdr:col>
      <xdr:colOff>3238500</xdr:colOff>
      <xdr:row>11</xdr:row>
      <xdr:rowOff>114300</xdr:rowOff>
    </xdr:from>
    <xdr:to>
      <xdr:col>3</xdr:col>
      <xdr:colOff>4991100</xdr:colOff>
      <xdr:row>17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87E3B62-409E-4705-271D-5CE9043DEC5D}"/>
            </a:ext>
            <a:ext uri="{147F2762-F138-4A5C-976F-8EAC2B608ADB}">
              <a16:predDERef xmlns:a16="http://schemas.microsoft.com/office/drawing/2014/main" pred="{AA38DF04-F0D9-FCC6-1A9A-A3DE2EA377C7}"/>
            </a:ext>
          </a:extLst>
        </xdr:cNvPr>
        <xdr:cNvSpPr txBox="1"/>
      </xdr:nvSpPr>
      <xdr:spPr>
        <a:xfrm>
          <a:off x="5372100" y="2609850"/>
          <a:ext cx="1752600" cy="10287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R$ 600,00 - Annual</a:t>
          </a:r>
        </a:p>
        <a:p>
          <a:pPr marL="0" indent="0" algn="l"/>
          <a:endParaRPr lang="en-US" sz="1100" u="none" strike="noStrike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r>
            <a:rPr lang="en-US" sz="110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R$1.350,00 - Monthly</a:t>
          </a:r>
        </a:p>
        <a:p>
          <a:pPr marL="0" indent="0" algn="l"/>
          <a:endParaRPr lang="en-US" sz="1100" u="none" strike="noStrike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r>
            <a:rPr lang="en-US" sz="110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R$990,00 - Quartely</a:t>
          </a:r>
          <a:endParaRPr lang="en-US" sz="1100" u="none" strike="noStrike">
            <a:solidFill>
              <a:srgbClr val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endParaRPr lang="en-US" sz="1100" u="none" strike="noStrike">
            <a:solidFill>
              <a:srgbClr val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endParaRPr lang="en-US" sz="1100" u="none" strike="noStrike">
            <a:solidFill>
              <a:srgbClr val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 editAs="oneCell">
    <xdr:from>
      <xdr:col>3</xdr:col>
      <xdr:colOff>247650</xdr:colOff>
      <xdr:row>11</xdr:row>
      <xdr:rowOff>28575</xdr:rowOff>
    </xdr:from>
    <xdr:to>
      <xdr:col>3</xdr:col>
      <xdr:colOff>1466850</xdr:colOff>
      <xdr:row>17</xdr:row>
      <xdr:rowOff>104775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4A52CCB-05AE-4985-AC80-93D501E3C270}"/>
            </a:ext>
            <a:ext uri="{147F2762-F138-4A5C-976F-8EAC2B608ADB}">
              <a16:predDERef xmlns:a16="http://schemas.microsoft.com/office/drawing/2014/main" pred="{C87E3B62-409E-4705-271D-5CE9043DE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24125"/>
          <a:ext cx="1219200" cy="1219200"/>
        </a:xfrm>
        <a:prstGeom prst="rect">
          <a:avLst/>
        </a:prstGeom>
      </xdr:spPr>
    </xdr:pic>
    <xdr:clientData/>
  </xdr:twoCellAnchor>
  <xdr:twoCellAnchor>
    <xdr:from>
      <xdr:col>3</xdr:col>
      <xdr:colOff>733425</xdr:colOff>
      <xdr:row>8</xdr:row>
      <xdr:rowOff>19050</xdr:rowOff>
    </xdr:from>
    <xdr:to>
      <xdr:col>3</xdr:col>
      <xdr:colOff>4857750</xdr:colOff>
      <xdr:row>9</xdr:row>
      <xdr:rowOff>95250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5D2686A1-109A-CF27-B554-01B6166877BF}"/>
            </a:ext>
            <a:ext uri="{147F2762-F138-4A5C-976F-8EAC2B608ADB}">
              <a16:predDERef xmlns:a16="http://schemas.microsoft.com/office/drawing/2014/main" pred="{84A52CCB-05AE-4985-AC80-93D501E3C270}"/>
            </a:ext>
          </a:extLst>
        </xdr:cNvPr>
        <xdr:cNvSpPr txBox="1"/>
      </xdr:nvSpPr>
      <xdr:spPr>
        <a:xfrm>
          <a:off x="2867025" y="1943100"/>
          <a:ext cx="4124325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b="0" i="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 EA  PLAY SEASON PASS</a:t>
          </a:r>
          <a:endParaRPr lang="en-US" sz="1100" b="0" i="0" u="none" strike="noStrike">
            <a:solidFill>
              <a:srgbClr val="000000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5</xdr:col>
      <xdr:colOff>228600</xdr:colOff>
      <xdr:row>7</xdr:row>
      <xdr:rowOff>85725</xdr:rowOff>
    </xdr:from>
    <xdr:to>
      <xdr:col>12</xdr:col>
      <xdr:colOff>600075</xdr:colOff>
      <xdr:row>18</xdr:row>
      <xdr:rowOff>133350</xdr:rowOff>
    </xdr:to>
    <xdr:sp macro="" textlink="">
      <xdr:nvSpPr>
        <xdr:cNvPr id="12" name="Retângulo Arredondado 11">
          <a:extLst>
            <a:ext uri="{FF2B5EF4-FFF2-40B4-BE49-F238E27FC236}">
              <a16:creationId xmlns:a16="http://schemas.microsoft.com/office/drawing/2014/main" id="{485935FF-BB25-D132-B3E2-CED3172E81D3}"/>
            </a:ext>
            <a:ext uri="{147F2762-F138-4A5C-976F-8EAC2B608ADB}">
              <a16:predDERef xmlns:a16="http://schemas.microsoft.com/office/drawing/2014/main" pred="{5D2686A1-109A-CF27-B554-01B6166877BF}"/>
            </a:ext>
          </a:extLst>
        </xdr:cNvPr>
        <xdr:cNvSpPr/>
      </xdr:nvSpPr>
      <xdr:spPr>
        <a:xfrm>
          <a:off x="8162925" y="1819275"/>
          <a:ext cx="4467225" cy="21431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6</xdr:col>
      <xdr:colOff>180975</xdr:colOff>
      <xdr:row>7</xdr:row>
      <xdr:rowOff>161925</xdr:rowOff>
    </xdr:from>
    <xdr:to>
      <xdr:col>11</xdr:col>
      <xdr:colOff>352425</xdr:colOff>
      <xdr:row>18</xdr:row>
      <xdr:rowOff>57150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EC8B7EA-428E-071F-E3F7-5316B94E1932}"/>
            </a:ext>
            <a:ext uri="{147F2762-F138-4A5C-976F-8EAC2B608ADB}">
              <a16:predDERef xmlns:a16="http://schemas.microsoft.com/office/drawing/2014/main" pred="{485935FF-BB25-D132-B3E2-CED3172E81D3}"/>
            </a:ext>
          </a:extLst>
        </xdr:cNvPr>
        <xdr:cNvSpPr txBox="1"/>
      </xdr:nvSpPr>
      <xdr:spPr>
        <a:xfrm>
          <a:off x="8724900" y="1895475"/>
          <a:ext cx="3219450" cy="1990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TOTAL SUBSCRIPTION MINECRAFT SEASON PASS</a:t>
          </a:r>
          <a:endParaRPr lang="en-US" sz="1100" b="0" i="0" u="none" strike="noStrike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endParaRPr lang="en-US" sz="1100" b="0" i="0" u="none" strike="noStrike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endParaRPr lang="en-US" sz="1100" b="0" i="0" u="none" strike="noStrike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endParaRPr lang="en-US" sz="1100" b="0" i="0" u="none" strike="noStrike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R$ 940,00 - Annual</a:t>
          </a:r>
        </a:p>
        <a:p>
          <a:pPr marL="0" indent="0" algn="l"/>
          <a:endParaRPr lang="en-US" sz="1100" b="0" i="0" u="none" strike="noStrike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R$ 1.800,00 - Monthly</a:t>
          </a:r>
        </a:p>
        <a:p>
          <a:pPr marL="0" indent="0" algn="l"/>
          <a:endParaRPr lang="en-US" sz="1100" b="0" i="0" u="none" strike="noStrike">
            <a:solidFill>
              <a:srgbClr val="22C55E"/>
            </a:solidFill>
            <a:latin typeface="Segoe UI" panose="020B0502040204020203" pitchFamily="34" charset="0"/>
            <a:cs typeface="Segoe UI" panose="020B0502040204020203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R$ 1.140,00 - Quartly</a:t>
          </a:r>
        </a:p>
      </xdr:txBody>
    </xdr:sp>
    <xdr:clientData/>
  </xdr:twoCellAnchor>
  <xdr:twoCellAnchor>
    <xdr:from>
      <xdr:col>4</xdr:col>
      <xdr:colOff>180975</xdr:colOff>
      <xdr:row>32</xdr:row>
      <xdr:rowOff>95250</xdr:rowOff>
    </xdr:from>
    <xdr:to>
      <xdr:col>8</xdr:col>
      <xdr:colOff>361950</xdr:colOff>
      <xdr:row>37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6A091479-7F91-7EA0-367A-437AE253FF6D}"/>
            </a:ext>
            <a:ext uri="{147F2762-F138-4A5C-976F-8EAC2B608ADB}">
              <a16:predDERef xmlns:a16="http://schemas.microsoft.com/office/drawing/2014/main" pred="{8EC8B7EA-428E-071F-E3F7-5316B94E1932}"/>
            </a:ext>
          </a:extLst>
        </xdr:cNvPr>
        <xdr:cNvSpPr txBox="1"/>
      </xdr:nvSpPr>
      <xdr:spPr>
        <a:xfrm>
          <a:off x="7410450" y="6591300"/>
          <a:ext cx="271462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 u="none" strike="noStrike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rPr>
            <a:t>AUTO RENEWAL  - SUBSCRIPTION TYPE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3.015685879633" createdVersion="8" refreshedVersion="8" minRefreshableVersion="3" recordCount="296" xr:uid="{AF2B8381-1AAF-476D-9067-B9220DF74BBA}">
  <cacheSource type="worksheet">
    <worksheetSource ref="A1:M1048576" sheet="B̳ases"/>
  </cacheSource>
  <cacheFields count="13">
    <cacheField name="Subscriber ID" numFmtId="0">
      <sharedItems containsString="0" containsBlank="1" containsNumber="1" containsInteger="1" minValue="3231" maxValue="3525"/>
    </cacheField>
    <cacheField name="Name" numFmtId="0">
      <sharedItems containsBlank="1"/>
    </cacheField>
    <cacheField name="Plan" numFmtId="0">
      <sharedItems containsBlank="1" count="4">
        <s v="Ultimate"/>
        <s v="Core"/>
        <s v="Standard"/>
        <m/>
      </sharedItems>
    </cacheField>
    <cacheField name="Start Date" numFmtId="0">
      <sharedItems containsNonDate="0" containsDate="1" containsString="0" containsBlank="1" minDate="2024-01-01T00:00:00" maxDate="2024-12-17T00:00:00"/>
    </cacheField>
    <cacheField name="Auto Renewal" numFmtId="0">
      <sharedItems containsBlank="1" count="3">
        <s v="Yes"/>
        <s v="No"/>
        <m/>
      </sharedItems>
    </cacheField>
    <cacheField name="Subscription Price" numFmtId="0">
      <sharedItems containsString="0" containsBlank="1" containsNumber="1" containsInteger="1" minValue="5" maxValue="15"/>
    </cacheField>
    <cacheField name="Subscription Type" numFmtId="0">
      <sharedItems containsBlank="1" count="4">
        <s v="Monthly"/>
        <s v="Annual"/>
        <s v="Quarterly"/>
        <m/>
      </sharedItems>
    </cacheField>
    <cacheField name="EA Play Season Pass" numFmtId="0">
      <sharedItems containsBlank="1" count="3">
        <s v="Yes"/>
        <s v="No"/>
        <m/>
      </sharedItems>
    </cacheField>
    <cacheField name="EA Play Season Pass_x000a_Price" numFmtId="0">
      <sharedItems containsBlank="1" containsMixedTypes="1" containsNumber="1" containsInteger="1" minValue="30" maxValue="30" count="3">
        <n v="30"/>
        <s v="-"/>
        <m/>
      </sharedItems>
    </cacheField>
    <cacheField name="Minecraft Season Pass" numFmtId="0">
      <sharedItems containsBlank="1"/>
    </cacheField>
    <cacheField name="Minecraft Season Pass Price" numFmtId="0">
      <sharedItems containsString="0" containsBlank="1" containsNumber="1" containsInteger="1" minValue="0" maxValue="20"/>
    </cacheField>
    <cacheField name="Coupon Value" numFmtId="0">
      <sharedItems containsString="0" containsBlank="1" containsNumber="1" containsInteger="1" minValue="0" maxValue="20"/>
    </cacheField>
    <cacheField name="Total Value" numFmtId="0">
      <sharedItems containsString="0" containsBlank="1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68111962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  <r>
    <n v="3524"/>
    <s v="Diogo Ramos"/>
    <x v="2"/>
    <d v="2024-12-15T00:00:00"/>
    <x v="0"/>
    <n v="10"/>
    <x v="1"/>
    <x v="1"/>
    <x v="1"/>
    <s v="Yes"/>
    <n v="20"/>
    <n v="15"/>
    <n v="15"/>
  </r>
  <r>
    <n v="3525"/>
    <s v="Elisa Magalhães"/>
    <x v="1"/>
    <d v="2024-12-16T00:00:00"/>
    <x v="1"/>
    <n v="5"/>
    <x v="0"/>
    <x v="1"/>
    <x v="1"/>
    <s v="No"/>
    <n v="0"/>
    <n v="1"/>
    <n v="4"/>
  </r>
  <r>
    <m/>
    <m/>
    <x v="3"/>
    <m/>
    <x v="2"/>
    <m/>
    <x v="3"/>
    <x v="2"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E61E2-822C-4754-BFC2-7A954EBC25C9}" name="Tabela dinâmica1" cacheId="13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3">
  <location ref="C60:D63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5">
        <item h="1" x="1"/>
        <item x="2"/>
        <item x="0"/>
        <item h="1" x="3"/>
        <item t="default"/>
      </items>
    </pivotField>
    <pivotField compact="0" outline="0" showAll="0"/>
    <pivotField compact="0" outline="0" showAll="0">
      <items count="4">
        <item x="1"/>
        <item x="0"/>
        <item h="1" x="2"/>
        <item t="default"/>
      </items>
    </pivotField>
    <pivotField compact="0" outline="0" showAll="0"/>
    <pivotField axis="axisPage" compact="0" outline="0" multipleItemSelectionAllowed="1" showAll="0">
      <items count="5">
        <item h="1" x="1"/>
        <item h="1" x="0"/>
        <item x="2"/>
        <item h="1" x="3"/>
        <item t="default"/>
      </items>
    </pivotField>
    <pivotField compact="0" outline="0" showAll="0">
      <items count="4">
        <item h="1" x="1"/>
        <item x="0"/>
        <item h="1" x="2"/>
        <item t="default"/>
      </items>
    </pivotField>
    <pivotField compact="0" outline="0" showAll="0">
      <items count="4">
        <item h="1" x="0"/>
        <item x="1"/>
        <item h="1"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03D02C-7807-49C4-A8AB-82DF0647A0D3}" name="Tabela dinâmica3" cacheId="13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3">
  <location ref="B34:C38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5">
        <item x="1"/>
        <item x="2"/>
        <item x="0"/>
        <item h="1" x="3"/>
        <item t="default"/>
      </items>
    </pivotField>
    <pivotField compact="0" outline="0" showAll="0"/>
    <pivotField compact="0" outline="0" showAll="0">
      <items count="4">
        <item x="1"/>
        <item x="0"/>
        <item h="1" x="2"/>
        <item t="default"/>
      </items>
    </pivotField>
    <pivotField compact="0" outline="0" showAll="0"/>
    <pivotField axis="axisPage" compact="0" outline="0" multipleItemSelectionAllowed="1" showAll="0">
      <items count="5">
        <item h="1" x="1"/>
        <item h="1" x="0"/>
        <item x="2"/>
        <item h="1" x="3"/>
        <item t="default"/>
      </items>
    </pivotField>
    <pivotField compact="0" outline="0" showAll="0">
      <items count="4">
        <item h="1" x="1"/>
        <item x="0"/>
        <item h="1" x="2"/>
        <item t="default"/>
      </items>
    </pivotField>
    <pivotField dataField="1" compact="0" outline="0" showAll="0">
      <items count="4">
        <item h="1" x="0"/>
        <item x="1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58568-62D8-4005-A190-31F089A324AC}" name="Tabela dinâmica2" cacheId="133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3">
  <location ref="B11:C14" firstHeaderRow="1" firstDataRow="1" firstDataCol="1" rowPageCount="1" colPageCount="1"/>
  <pivotFields count="13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axis="axisPage" compact="0" outline="0" multipleItemSelectionAllowed="1" showAll="0">
      <items count="5">
        <item h="1" x="1"/>
        <item h="1" x="0"/>
        <item x="2"/>
        <item h="1"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14">
      <pivotArea outline="0" collapsedLevelsAreSubtotals="1" fieldPosition="0"/>
    </format>
  </format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970AE31-E2C6-4313-A202-3E57B63FDC39}" sourceName="Subscription Type">
  <pivotTables>
    <pivotTable tabId="3" name="Tabela dinâmica2"/>
    <pivotTable tabId="3" name="Tabela dinâmica3"/>
    <pivotTable tabId="3" name="Tabela dinâmica1"/>
  </pivotTables>
  <data>
    <tabular pivotCacheId="681119623">
      <items count="4">
        <i x="1"/>
        <i x="0"/>
        <i x="2" s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A1A40122-74AC-4532-B897-C43C8C464AB1}" cache="SegmentaçãodeDados_Subscription_Type" caption="Subscription 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07270A8D-4D64-4F96-A068-46DFC6531BE6}" cache="SegmentaçãodeDados_Subscription_Type" caption="Subs Type" style="SlicerStyleLight3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4" zoomScaleNormal="100" workbookViewId="0">
      <selection activeCell="K32" sqref="K32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/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D63"/>
  <sheetViews>
    <sheetView showGridLines="0" workbookViewId="0">
      <selection activeCell="C58" sqref="C58"/>
    </sheetView>
  </sheetViews>
  <sheetFormatPr defaultRowHeight="15"/>
  <cols>
    <col min="1" max="1" width="36.5703125" bestFit="1" customWidth="1"/>
    <col min="2" max="3" width="16" customWidth="1"/>
    <col min="4" max="4" width="33.85546875" bestFit="1" customWidth="1"/>
    <col min="5" max="6" width="35.140625" bestFit="1" customWidth="1"/>
    <col min="7" max="10" width="9.7109375" bestFit="1" customWidth="1"/>
    <col min="11" max="11" width="15.5703125" bestFit="1" customWidth="1"/>
    <col min="12" max="12" width="12.140625" bestFit="1" customWidth="1"/>
  </cols>
  <sheetData>
    <row r="2" spans="2:3" ht="43.5">
      <c r="B2" s="12" t="s">
        <v>313</v>
      </c>
    </row>
    <row r="3" spans="2:3">
      <c r="B3" s="12"/>
    </row>
    <row r="5" spans="2:3" ht="29.25">
      <c r="B5" s="13" t="s">
        <v>314</v>
      </c>
    </row>
    <row r="7" spans="2:3">
      <c r="B7" s="16" t="s">
        <v>315</v>
      </c>
    </row>
    <row r="8" spans="2:3">
      <c r="B8" s="16"/>
    </row>
    <row r="9" spans="2:3">
      <c r="B9" s="14" t="s">
        <v>17</v>
      </c>
      <c r="C9" t="s">
        <v>35</v>
      </c>
    </row>
    <row r="11" spans="2:3">
      <c r="B11" s="14" t="s">
        <v>15</v>
      </c>
      <c r="C11" t="s">
        <v>316</v>
      </c>
    </row>
    <row r="12" spans="2:3">
      <c r="B12" t="s">
        <v>30</v>
      </c>
      <c r="C12" s="15">
        <v>806</v>
      </c>
    </row>
    <row r="13" spans="2:3">
      <c r="B13" t="s">
        <v>26</v>
      </c>
      <c r="C13" s="15">
        <v>1502</v>
      </c>
    </row>
    <row r="14" spans="2:3">
      <c r="B14" t="s">
        <v>317</v>
      </c>
      <c r="C14" s="15">
        <v>2308</v>
      </c>
    </row>
    <row r="32" spans="2:3">
      <c r="B32" s="14" t="s">
        <v>17</v>
      </c>
      <c r="C32" t="s">
        <v>35</v>
      </c>
    </row>
    <row r="34" spans="2:4">
      <c r="B34" s="14" t="s">
        <v>13</v>
      </c>
      <c r="C34" t="s">
        <v>318</v>
      </c>
    </row>
    <row r="35" spans="2:4">
      <c r="B35" t="s">
        <v>29</v>
      </c>
      <c r="C35" s="15">
        <v>0</v>
      </c>
    </row>
    <row r="36" spans="2:4">
      <c r="B36" t="s">
        <v>34</v>
      </c>
      <c r="C36" s="15">
        <v>0</v>
      </c>
    </row>
    <row r="37" spans="2:4">
      <c r="B37" t="s">
        <v>25</v>
      </c>
      <c r="C37" s="15">
        <v>990</v>
      </c>
    </row>
    <row r="38" spans="2:4">
      <c r="B38" t="s">
        <v>317</v>
      </c>
      <c r="C38" s="15">
        <v>990</v>
      </c>
      <c r="D38" s="33"/>
    </row>
    <row r="41" spans="2:4">
      <c r="D41" t="s">
        <v>319</v>
      </c>
    </row>
    <row r="58" spans="3:4">
      <c r="C58" s="14" t="s">
        <v>17</v>
      </c>
      <c r="D58" t="s">
        <v>35</v>
      </c>
    </row>
    <row r="60" spans="3:4">
      <c r="C60" s="14" t="s">
        <v>13</v>
      </c>
      <c r="D60" t="s">
        <v>320</v>
      </c>
    </row>
    <row r="61" spans="3:4">
      <c r="C61" t="s">
        <v>34</v>
      </c>
      <c r="D61" s="15">
        <v>480</v>
      </c>
    </row>
    <row r="62" spans="3:4">
      <c r="C62" t="s">
        <v>25</v>
      </c>
      <c r="D62" s="15">
        <v>660</v>
      </c>
    </row>
    <row r="63" spans="3:4">
      <c r="C63" t="s">
        <v>317</v>
      </c>
      <c r="D63" s="15">
        <v>1140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CU255"/>
  <sheetViews>
    <sheetView showGridLines="0" tabSelected="1" topLeftCell="C8" zoomScale="80" zoomScaleNormal="80" workbookViewId="0">
      <selection activeCell="P18" sqref="P18"/>
    </sheetView>
  </sheetViews>
  <sheetFormatPr defaultRowHeight="15"/>
  <cols>
    <col min="1" max="1" width="19.28515625" style="4" customWidth="1"/>
    <col min="2" max="2" width="3.5703125" style="7" customWidth="1"/>
    <col min="3" max="3" width="9.140625" style="7"/>
    <col min="4" max="4" width="76.42578125" style="7" customWidth="1"/>
    <col min="5" max="5" width="10.5703125" style="7" bestFit="1" customWidth="1"/>
    <col min="6" max="11" width="9.140625" style="7"/>
    <col min="12" max="12" width="6.5703125" style="7" customWidth="1"/>
    <col min="13" max="99" width="9.140625" style="7"/>
  </cols>
  <sheetData>
    <row r="1" spans="1:34" s="7" customFormat="1">
      <c r="A1" s="4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34" s="7" customFormat="1">
      <c r="A2" s="4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34" s="7" customFormat="1" ht="19.5">
      <c r="A3" s="4"/>
      <c r="B3" s="17"/>
      <c r="C3" s="18"/>
      <c r="D3" s="18"/>
      <c r="E3" s="18"/>
      <c r="F3" s="18"/>
      <c r="G3" s="18"/>
      <c r="H3" s="18"/>
      <c r="I3" s="18"/>
      <c r="J3" s="18"/>
      <c r="K3" s="17"/>
      <c r="L3" s="20"/>
      <c r="M3" s="18"/>
      <c r="N3" s="18"/>
      <c r="O3" s="17"/>
      <c r="P3" s="17"/>
      <c r="Q3" s="21"/>
      <c r="R3" s="21"/>
      <c r="S3" s="21"/>
      <c r="T3" s="17"/>
      <c r="U3" s="17"/>
    </row>
    <row r="4" spans="1:34" s="7" customFormat="1" ht="24" customHeight="1">
      <c r="A4" s="4"/>
      <c r="B4" s="24"/>
      <c r="C4" s="25"/>
      <c r="D4" s="27" t="s">
        <v>321</v>
      </c>
      <c r="E4" s="28"/>
      <c r="F4" s="28"/>
      <c r="G4" s="29"/>
      <c r="H4" s="30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21"/>
      <c r="U4" s="21"/>
      <c r="V4" s="19"/>
      <c r="W4" s="19"/>
      <c r="X4" s="19"/>
      <c r="Y4" s="22"/>
      <c r="Z4" s="22"/>
      <c r="AA4" s="22"/>
      <c r="AB4" s="22"/>
      <c r="AC4" s="22"/>
      <c r="AD4" s="22"/>
      <c r="AE4" s="22"/>
      <c r="AF4" s="22"/>
      <c r="AG4" s="22"/>
      <c r="AH4" s="23"/>
    </row>
    <row r="5" spans="1:34" s="7" customFormat="1" ht="24">
      <c r="A5" s="4"/>
      <c r="B5" s="17"/>
      <c r="C5" s="17"/>
      <c r="D5" s="31"/>
      <c r="E5" s="21"/>
      <c r="F5" s="21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</row>
    <row r="6" spans="1:34" s="7" customFormat="1" ht="24">
      <c r="A6" s="4"/>
      <c r="B6" s="17"/>
      <c r="C6" s="21"/>
      <c r="D6" s="32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</row>
    <row r="7" spans="1:34" s="7" customFormat="1">
      <c r="A7" s="4"/>
      <c r="D7" s="26"/>
      <c r="E7" s="26"/>
      <c r="F7" s="26"/>
      <c r="G7" s="26"/>
      <c r="H7" s="26"/>
      <c r="I7" s="26"/>
      <c r="J7" s="26"/>
    </row>
    <row r="8" spans="1:34" s="7" customFormat="1">
      <c r="A8" s="4"/>
      <c r="E8" s="26"/>
      <c r="F8" s="26"/>
      <c r="G8" s="26"/>
      <c r="H8" s="26"/>
      <c r="I8" s="26"/>
      <c r="J8" s="26"/>
    </row>
    <row r="9" spans="1:34" s="7" customFormat="1">
      <c r="A9" s="4"/>
      <c r="D9" s="26"/>
      <c r="E9" s="26"/>
      <c r="F9" s="26"/>
      <c r="G9" s="26"/>
      <c r="H9" s="26"/>
      <c r="I9" s="26"/>
      <c r="J9" s="26"/>
    </row>
    <row r="10" spans="1:34" s="7" customFormat="1">
      <c r="A10" s="4"/>
      <c r="D10" s="26"/>
      <c r="E10" s="26"/>
      <c r="F10" s="26"/>
      <c r="G10" s="26"/>
      <c r="H10" s="26"/>
      <c r="I10" s="26"/>
      <c r="J10" s="26"/>
    </row>
    <row r="11" spans="1:34" s="7" customFormat="1">
      <c r="A11" s="4"/>
      <c r="D11" s="26"/>
      <c r="E11" s="26"/>
      <c r="F11" s="26"/>
      <c r="G11" s="26"/>
      <c r="H11" s="26"/>
      <c r="I11" s="26"/>
      <c r="J11" s="26"/>
    </row>
    <row r="12" spans="1:34" s="7" customFormat="1">
      <c r="A12" s="4"/>
      <c r="D12" s="26"/>
      <c r="E12" s="26"/>
      <c r="F12" s="26"/>
      <c r="G12" s="26"/>
      <c r="H12" s="26"/>
      <c r="I12" s="26"/>
      <c r="J12" s="26"/>
    </row>
    <row r="13" spans="1:34" s="7" customFormat="1">
      <c r="A13" s="4"/>
      <c r="D13" s="26"/>
      <c r="E13" s="26"/>
      <c r="F13" s="26"/>
      <c r="G13" s="26"/>
      <c r="H13" s="26"/>
      <c r="I13" s="26"/>
      <c r="J13" s="26"/>
    </row>
    <row r="14" spans="1:34" s="7" customFormat="1">
      <c r="A14" s="4"/>
      <c r="D14" s="26"/>
      <c r="E14" s="26"/>
      <c r="F14" s="26"/>
    </row>
    <row r="15" spans="1:34" s="7" customFormat="1">
      <c r="A15" s="4"/>
      <c r="D15" s="26"/>
      <c r="E15" s="26"/>
      <c r="F15" s="26"/>
    </row>
    <row r="16" spans="1:34" s="7" customFormat="1">
      <c r="A16" s="4"/>
      <c r="D16" s="26"/>
      <c r="E16" s="26"/>
      <c r="F16" s="26"/>
    </row>
    <row r="17" spans="1:6" s="7" customFormat="1">
      <c r="A17" s="4"/>
      <c r="D17" s="26"/>
      <c r="E17" s="26"/>
      <c r="F17" s="26"/>
    </row>
    <row r="18" spans="1:6" s="7" customFormat="1">
      <c r="A18" s="4"/>
      <c r="D18" s="26"/>
      <c r="E18" s="26"/>
      <c r="F18" s="26"/>
    </row>
    <row r="19" spans="1:6" s="7" customFormat="1">
      <c r="A19" s="4"/>
      <c r="D19" s="26"/>
      <c r="E19" s="26"/>
      <c r="F19" s="26"/>
    </row>
    <row r="20" spans="1:6" s="7" customFormat="1">
      <c r="A20" s="4"/>
      <c r="D20" s="26"/>
      <c r="E20" s="26"/>
      <c r="F20" s="26"/>
    </row>
    <row r="21" spans="1:6" s="7" customFormat="1">
      <c r="A21" s="4"/>
      <c r="D21" s="26"/>
      <c r="E21" s="26"/>
      <c r="F21" s="26"/>
    </row>
    <row r="22" spans="1:6" s="7" customFormat="1">
      <c r="A22" s="4"/>
      <c r="D22" s="26"/>
      <c r="E22" s="26"/>
      <c r="F22" s="26"/>
    </row>
    <row r="23" spans="1:6" s="7" customFormat="1">
      <c r="A23" s="4"/>
      <c r="D23" s="26"/>
      <c r="E23" s="26"/>
      <c r="F23" s="26"/>
    </row>
    <row r="24" spans="1:6" s="7" customFormat="1">
      <c r="A24" s="4"/>
      <c r="D24" s="26"/>
      <c r="E24" s="26"/>
      <c r="F24" s="26"/>
    </row>
    <row r="25" spans="1:6" s="7" customFormat="1">
      <c r="A25" s="4"/>
      <c r="D25" s="26"/>
      <c r="E25" s="26"/>
      <c r="F25" s="26"/>
    </row>
    <row r="26" spans="1:6" s="7" customFormat="1">
      <c r="A26" s="4"/>
      <c r="D26" s="26"/>
      <c r="E26" s="26"/>
      <c r="F26" s="26"/>
    </row>
    <row r="27" spans="1:6" s="7" customFormat="1">
      <c r="A27" s="4"/>
      <c r="D27" s="26"/>
      <c r="E27" s="26"/>
      <c r="F27" s="26"/>
    </row>
    <row r="28" spans="1:6" s="7" customFormat="1">
      <c r="A28" s="4"/>
      <c r="D28" s="26"/>
      <c r="E28" s="26"/>
      <c r="F28" s="26"/>
    </row>
    <row r="29" spans="1:6" s="7" customFormat="1">
      <c r="A29" s="4"/>
    </row>
    <row r="30" spans="1:6" s="7" customFormat="1">
      <c r="A30" s="4"/>
    </row>
    <row r="31" spans="1:6" s="7" customFormat="1">
      <c r="A31" s="4"/>
    </row>
    <row r="32" spans="1:6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  <row r="252" spans="1:1" s="7" customFormat="1">
      <c r="A252" s="4"/>
    </row>
    <row r="253" spans="1:1" s="7" customFormat="1">
      <c r="A253" s="4"/>
    </row>
    <row r="254" spans="1:1" s="7" customFormat="1">
      <c r="A254" s="4"/>
    </row>
    <row r="255" spans="1:1" s="7" customFormat="1">
      <c r="A255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/>
</file>

<file path=customXml/itemProps2.xml><?xml version="1.0" encoding="utf-8"?>
<ds:datastoreItem xmlns:ds="http://schemas.openxmlformats.org/officeDocument/2006/customXml" ds:itemID="{FFD3D529-BCD3-4ECD-9B2A-42924892FFCB}"/>
</file>

<file path=customXml/itemProps3.xml><?xml version="1.0" encoding="utf-8"?>
<ds:datastoreItem xmlns:ds="http://schemas.openxmlformats.org/officeDocument/2006/customXml" ds:itemID="{E3B4D9D5-B351-46EB-A728-C3362FE437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2026-04-01T15:14:49Z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